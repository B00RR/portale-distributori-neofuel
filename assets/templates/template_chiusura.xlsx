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oren\OneDrive\Desktop\programma pompe\"/>
    </mc:Choice>
  </mc:AlternateContent>
  <xr:revisionPtr revIDLastSave="0" documentId="13_ncr:1_{473E233A-6F1B-4F7A-BAD5-598E106E198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8" i="1" l="1"/>
  <c r="T36" i="1"/>
  <c r="N36" i="1"/>
  <c r="T35" i="1"/>
  <c r="U38" i="1" s="1"/>
  <c r="N35" i="1"/>
  <c r="T28" i="1"/>
  <c r="N28" i="1"/>
  <c r="T27" i="1"/>
  <c r="N27" i="1"/>
  <c r="N26" i="1"/>
  <c r="O30" i="1" s="1"/>
  <c r="N25" i="1"/>
  <c r="T25" i="1" s="1"/>
  <c r="U31" i="1" s="1"/>
  <c r="T24" i="1"/>
  <c r="N24" i="1"/>
  <c r="T23" i="1"/>
  <c r="N23" i="1"/>
  <c r="O18" i="1"/>
  <c r="F6" i="1" s="1"/>
  <c r="T16" i="1"/>
  <c r="N16" i="1"/>
  <c r="T15" i="1"/>
  <c r="N15" i="1"/>
  <c r="N14" i="1"/>
  <c r="T14" i="1" s="1"/>
  <c r="U18" i="1" s="1"/>
  <c r="N13" i="1"/>
  <c r="T13" i="1" s="1"/>
  <c r="U19" i="1" s="1"/>
  <c r="P5" i="1" s="1"/>
  <c r="T12" i="1"/>
  <c r="N12" i="1"/>
  <c r="T11" i="1"/>
  <c r="N11" i="1"/>
  <c r="T26" i="1" l="1"/>
  <c r="U30" i="1" s="1"/>
  <c r="F5" i="1" s="1"/>
  <c r="U5" i="1" s="1"/>
  <c r="G43" i="1" s="1"/>
  <c r="O19" i="1"/>
  <c r="O31" i="1"/>
  <c r="P6" i="1" l="1"/>
</calcChain>
</file>

<file path=xl/sharedStrings.xml><?xml version="1.0" encoding="utf-8"?>
<sst xmlns="http://schemas.openxmlformats.org/spreadsheetml/2006/main" count="95" uniqueCount="39">
  <si>
    <t>DATA</t>
  </si>
  <si>
    <t>GASOLIO €</t>
  </si>
  <si>
    <t>BENZINA €</t>
  </si>
  <si>
    <t>TOTALE GASOLIO €</t>
  </si>
  <si>
    <t>TOTALE BENZINA €</t>
  </si>
  <si>
    <t>TOTALE GASOLIO LT</t>
  </si>
  <si>
    <t>TOTALE BENZINA LT</t>
  </si>
  <si>
    <t>totale venduto</t>
  </si>
  <si>
    <t>ISOLA 1</t>
  </si>
  <si>
    <t>CHIUSURA</t>
  </si>
  <si>
    <t>APERTURA</t>
  </si>
  <si>
    <t>LT VENDUTI</t>
  </si>
  <si>
    <t>TOTALE €</t>
  </si>
  <si>
    <t>1-G</t>
  </si>
  <si>
    <t>-</t>
  </si>
  <si>
    <t>=</t>
  </si>
  <si>
    <t>G</t>
  </si>
  <si>
    <t>2-G</t>
  </si>
  <si>
    <t>3-B</t>
  </si>
  <si>
    <t>B</t>
  </si>
  <si>
    <t>6-G</t>
  </si>
  <si>
    <t>7-G</t>
  </si>
  <si>
    <t>8-B</t>
  </si>
  <si>
    <t>LT G</t>
  </si>
  <si>
    <t>€/G</t>
  </si>
  <si>
    <t>LT B</t>
  </si>
  <si>
    <t>€/B</t>
  </si>
  <si>
    <t>ISOLA 2</t>
  </si>
  <si>
    <t>ISOLA 3</t>
  </si>
  <si>
    <t>LT</t>
  </si>
  <si>
    <t>€</t>
  </si>
  <si>
    <t>SELF</t>
  </si>
  <si>
    <t>CARTE SELF</t>
  </si>
  <si>
    <t>CONTANTI</t>
  </si>
  <si>
    <t>CARTE POS</t>
  </si>
  <si>
    <t>NON EROGATO</t>
  </si>
  <si>
    <t>LUBR/ADBLUE</t>
  </si>
  <si>
    <t>CREDITI</t>
  </si>
  <si>
    <t>UTA/DKV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</si>
</sst>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10]General"/>
    <numFmt numFmtId="165" formatCode="dddd&quot;, &quot;mmmm&quot; &quot;dd&quot;, &quot;yyyy"/>
    <numFmt numFmtId="166" formatCode="&quot;€ &quot;#,##0.000"/>
    <numFmt numFmtId="167" formatCode="&quot;€ &quot;#,##0.00"/>
    <numFmt numFmtId="168" formatCode="&quot;€&quot;\ #,##0.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6"/>
      <color rgb="FF000000"/>
      <name val="Calibri"/>
      <family val="2"/>
    </font>
    <font>
      <b/>
      <sz val="18"/>
      <color rgb="FF000000"/>
      <name val="Calibri"/>
      <family val="2"/>
    </font>
    <font>
      <sz val="18"/>
      <color rgb="FF000000"/>
      <name val="Calibri"/>
      <family val="2"/>
    </font>
    <font>
      <sz val="14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b/>
      <i/>
      <sz val="18"/>
      <color rgb="FF000000"/>
      <name val="Calibri"/>
      <family val="2"/>
    </font>
    <font>
      <sz val="10"/>
      <color rgb="FF000000"/>
      <name val="Calibri"/>
      <family val="2"/>
    </font>
    <font>
      <sz val="8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Arial"/>
      <family val="2"/>
    </font>
    <font>
      <sz val="12"/>
      <color rgb="FF000000"/>
      <name val="Calibri"/>
      <family val="2"/>
    </font>
    <font>
      <sz val="11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E2F0D9"/>
        <bgColor rgb="FFE2F0D9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C9C9C9"/>
        <bgColor rgb="FFC9C9C9"/>
      </patternFill>
    </fill>
    <fill>
      <patternFill patternType="solid">
        <fgColor theme="7" tint="0.79998168889431442"/>
        <bgColor rgb="FFFFF2CC"/>
      </patternFill>
    </fill>
  </fills>
  <borders count="1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0">
    <xf numFmtId="0" fontId="0" fillId="0" borderId="0" xfId="0"/>
    <xf numFmtId="164" fontId="2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 shrinkToFit="1"/>
    </xf>
    <xf numFmtId="164" fontId="4" fillId="0" borderId="0" xfId="0" applyNumberFormat="1" applyFont="1"/>
    <xf numFmtId="164" fontId="3" fillId="0" borderId="0" xfId="0" applyNumberFormat="1" applyFont="1" applyAlignment="1">
      <alignment horizontal="center" shrinkToFit="1"/>
    </xf>
    <xf numFmtId="166" fontId="4" fillId="2" borderId="1" xfId="0" applyNumberFormat="1" applyFont="1" applyFill="1" applyBorder="1" applyAlignment="1">
      <alignment horizontal="center"/>
    </xf>
    <xf numFmtId="166" fontId="4" fillId="3" borderId="1" xfId="0" applyNumberFormat="1" applyFont="1" applyFill="1" applyBorder="1" applyAlignment="1">
      <alignment horizontal="center"/>
    </xf>
    <xf numFmtId="164" fontId="5" fillId="4" borderId="0" xfId="0" applyNumberFormat="1" applyFont="1" applyFill="1" applyAlignment="1">
      <alignment horizontal="center"/>
    </xf>
    <xf numFmtId="0" fontId="6" fillId="4" borderId="0" xfId="0" applyFont="1" applyFill="1" applyAlignment="1">
      <alignment horizontal="center"/>
    </xf>
    <xf numFmtId="164" fontId="4" fillId="4" borderId="0" xfId="0" applyNumberFormat="1" applyFont="1" applyFill="1"/>
    <xf numFmtId="164" fontId="3" fillId="4" borderId="0" xfId="0" applyNumberFormat="1" applyFont="1" applyFill="1" applyAlignment="1">
      <alignment horizontal="center" shrinkToFit="1"/>
    </xf>
    <xf numFmtId="0" fontId="7" fillId="4" borderId="0" xfId="0" applyFont="1" applyFill="1"/>
    <xf numFmtId="166" fontId="4" fillId="4" borderId="0" xfId="0" applyNumberFormat="1" applyFont="1" applyFill="1" applyAlignment="1">
      <alignment horizontal="center"/>
    </xf>
    <xf numFmtId="0" fontId="1" fillId="4" borderId="0" xfId="0" applyFont="1" applyFill="1"/>
    <xf numFmtId="164" fontId="7" fillId="0" borderId="0" xfId="0" applyNumberFormat="1" applyFont="1"/>
    <xf numFmtId="164" fontId="4" fillId="5" borderId="2" xfId="0" applyNumberFormat="1" applyFont="1" applyFill="1" applyBorder="1" applyAlignment="1">
      <alignment horizontal="right" shrinkToFit="1"/>
    </xf>
    <xf numFmtId="164" fontId="4" fillId="5" borderId="3" xfId="0" applyNumberFormat="1" applyFont="1" applyFill="1" applyBorder="1" applyAlignment="1">
      <alignment horizontal="right" shrinkToFit="1"/>
    </xf>
    <xf numFmtId="164" fontId="4" fillId="5" borderId="4" xfId="0" applyNumberFormat="1" applyFont="1" applyFill="1" applyBorder="1" applyAlignment="1">
      <alignment horizontal="right" shrinkToFit="1"/>
    </xf>
    <xf numFmtId="167" fontId="4" fillId="5" borderId="2" xfId="0" applyNumberFormat="1" applyFont="1" applyFill="1" applyBorder="1" applyAlignment="1">
      <alignment horizontal="center" shrinkToFit="1"/>
    </xf>
    <xf numFmtId="167" fontId="4" fillId="5" borderId="3" xfId="0" applyNumberFormat="1" applyFont="1" applyFill="1" applyBorder="1" applyAlignment="1">
      <alignment horizontal="center" shrinkToFit="1"/>
    </xf>
    <xf numFmtId="167" fontId="4" fillId="5" borderId="4" xfId="0" applyNumberFormat="1" applyFont="1" applyFill="1" applyBorder="1" applyAlignment="1">
      <alignment horizontal="center" shrinkToFit="1"/>
    </xf>
    <xf numFmtId="164" fontId="4" fillId="3" borderId="2" xfId="0" applyNumberFormat="1" applyFont="1" applyFill="1" applyBorder="1" applyAlignment="1">
      <alignment horizontal="right" shrinkToFit="1"/>
    </xf>
    <xf numFmtId="164" fontId="4" fillId="3" borderId="3" xfId="0" applyNumberFormat="1" applyFont="1" applyFill="1" applyBorder="1" applyAlignment="1">
      <alignment horizontal="right" shrinkToFit="1"/>
    </xf>
    <xf numFmtId="164" fontId="4" fillId="3" borderId="4" xfId="0" applyNumberFormat="1" applyFont="1" applyFill="1" applyBorder="1" applyAlignment="1">
      <alignment horizontal="right" shrinkToFit="1"/>
    </xf>
    <xf numFmtId="167" fontId="4" fillId="3" borderId="2" xfId="0" applyNumberFormat="1" applyFont="1" applyFill="1" applyBorder="1" applyAlignment="1">
      <alignment horizontal="center"/>
    </xf>
    <xf numFmtId="167" fontId="4" fillId="3" borderId="3" xfId="0" applyNumberFormat="1" applyFont="1" applyFill="1" applyBorder="1" applyAlignment="1">
      <alignment horizontal="center"/>
    </xf>
    <xf numFmtId="167" fontId="4" fillId="3" borderId="4" xfId="0" applyNumberFormat="1" applyFont="1" applyFill="1" applyBorder="1" applyAlignment="1">
      <alignment horizontal="center"/>
    </xf>
    <xf numFmtId="167" fontId="8" fillId="6" borderId="2" xfId="0" applyNumberFormat="1" applyFont="1" applyFill="1" applyBorder="1" applyAlignment="1">
      <alignment horizontal="center" vertical="top"/>
    </xf>
    <xf numFmtId="167" fontId="8" fillId="6" borderId="3" xfId="0" applyNumberFormat="1" applyFont="1" applyFill="1" applyBorder="1" applyAlignment="1">
      <alignment horizontal="center" vertical="top"/>
    </xf>
    <xf numFmtId="167" fontId="8" fillId="6" borderId="4" xfId="0" applyNumberFormat="1" applyFont="1" applyFill="1" applyBorder="1" applyAlignment="1">
      <alignment horizontal="center" vertical="top"/>
    </xf>
    <xf numFmtId="164" fontId="9" fillId="5" borderId="5" xfId="0" applyNumberFormat="1" applyFont="1" applyFill="1" applyBorder="1" applyAlignment="1">
      <alignment horizontal="center"/>
    </xf>
    <xf numFmtId="164" fontId="9" fillId="3" borderId="5" xfId="0" applyNumberFormat="1" applyFont="1" applyFill="1" applyBorder="1" applyAlignment="1">
      <alignment horizontal="center"/>
    </xf>
    <xf numFmtId="164" fontId="9" fillId="6" borderId="6" xfId="0" applyNumberFormat="1" applyFont="1" applyFill="1" applyBorder="1" applyAlignment="1">
      <alignment horizontal="center" vertical="center" shrinkToFit="1"/>
    </xf>
    <xf numFmtId="164" fontId="9" fillId="6" borderId="5" xfId="0" applyNumberFormat="1" applyFont="1" applyFill="1" applyBorder="1" applyAlignment="1">
      <alignment horizontal="center" vertical="center" shrinkToFit="1"/>
    </xf>
    <xf numFmtId="164" fontId="9" fillId="6" borderId="7" xfId="0" applyNumberFormat="1" applyFont="1" applyFill="1" applyBorder="1" applyAlignment="1">
      <alignment horizontal="center" vertical="center" shrinkToFit="1"/>
    </xf>
    <xf numFmtId="164" fontId="9" fillId="5" borderId="0" xfId="0" applyNumberFormat="1" applyFont="1" applyFill="1" applyAlignment="1">
      <alignment horizontal="center"/>
    </xf>
    <xf numFmtId="164" fontId="9" fillId="3" borderId="0" xfId="0" applyNumberFormat="1" applyFont="1" applyFill="1" applyAlignment="1">
      <alignment horizontal="center"/>
    </xf>
    <xf numFmtId="164" fontId="9" fillId="6" borderId="8" xfId="0" applyNumberFormat="1" applyFont="1" applyFill="1" applyBorder="1" applyAlignment="1">
      <alignment horizontal="center" vertical="center" shrinkToFit="1"/>
    </xf>
    <xf numFmtId="164" fontId="9" fillId="6" borderId="1" xfId="0" applyNumberFormat="1" applyFont="1" applyFill="1" applyBorder="1" applyAlignment="1">
      <alignment horizontal="center" vertical="center" shrinkToFit="1"/>
    </xf>
    <xf numFmtId="164" fontId="9" fillId="6" borderId="9" xfId="0" applyNumberFormat="1" applyFont="1" applyFill="1" applyBorder="1" applyAlignment="1">
      <alignment horizontal="center" vertical="center" shrinkToFit="1"/>
    </xf>
    <xf numFmtId="164" fontId="10" fillId="0" borderId="0" xfId="0" applyNumberFormat="1" applyFont="1" applyAlignment="1">
      <alignment horizontal="center" vertical="top"/>
    </xf>
    <xf numFmtId="164" fontId="11" fillId="0" borderId="1" xfId="0" applyNumberFormat="1" applyFont="1" applyBorder="1" applyAlignment="1">
      <alignment horizontal="center"/>
    </xf>
    <xf numFmtId="164" fontId="7" fillId="0" borderId="6" xfId="0" applyNumberFormat="1" applyFont="1" applyBorder="1"/>
    <xf numFmtId="164" fontId="7" fillId="0" borderId="3" xfId="0" applyNumberFormat="1" applyFont="1" applyBorder="1" applyAlignment="1">
      <alignment horizontal="center"/>
    </xf>
    <xf numFmtId="164" fontId="7" fillId="0" borderId="5" xfId="0" applyNumberFormat="1" applyFont="1" applyBorder="1"/>
    <xf numFmtId="164" fontId="10" fillId="0" borderId="5" xfId="0" applyNumberFormat="1" applyFont="1" applyBorder="1" applyAlignment="1">
      <alignment horizontal="center" vertical="top"/>
    </xf>
    <xf numFmtId="164" fontId="7" fillId="0" borderId="7" xfId="0" applyNumberFormat="1" applyFont="1" applyBorder="1"/>
    <xf numFmtId="164" fontId="7" fillId="0" borderId="10" xfId="0" applyNumberFormat="1" applyFont="1" applyBorder="1"/>
    <xf numFmtId="4" fontId="12" fillId="0" borderId="3" xfId="0" applyNumberFormat="1" applyFont="1" applyBorder="1" applyAlignment="1">
      <alignment horizontal="center"/>
    </xf>
    <xf numFmtId="4" fontId="7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4" fontId="7" fillId="5" borderId="1" xfId="0" applyNumberFormat="1" applyFont="1" applyFill="1" applyBorder="1" applyAlignment="1">
      <alignment horizontal="center"/>
    </xf>
    <xf numFmtId="164" fontId="7" fillId="5" borderId="0" xfId="0" applyNumberFormat="1" applyFont="1" applyFill="1"/>
    <xf numFmtId="167" fontId="7" fillId="5" borderId="1" xfId="0" applyNumberFormat="1" applyFont="1" applyFill="1" applyBorder="1" applyAlignment="1">
      <alignment horizontal="center"/>
    </xf>
    <xf numFmtId="164" fontId="7" fillId="0" borderId="11" xfId="0" applyNumberFormat="1" applyFont="1" applyBorder="1"/>
    <xf numFmtId="164" fontId="7" fillId="5" borderId="3" xfId="0" applyNumberFormat="1" applyFont="1" applyFill="1" applyBorder="1" applyAlignment="1">
      <alignment horizontal="center"/>
    </xf>
    <xf numFmtId="167" fontId="7" fillId="5" borderId="3" xfId="0" applyNumberFormat="1" applyFont="1" applyFill="1" applyBorder="1" applyAlignment="1">
      <alignment horizontal="center"/>
    </xf>
    <xf numFmtId="164" fontId="7" fillId="3" borderId="3" xfId="0" applyNumberFormat="1" applyFont="1" applyFill="1" applyBorder="1" applyAlignment="1">
      <alignment horizontal="center"/>
    </xf>
    <xf numFmtId="164" fontId="7" fillId="3" borderId="0" xfId="0" applyNumberFormat="1" applyFont="1" applyFill="1"/>
    <xf numFmtId="167" fontId="7" fillId="3" borderId="3" xfId="0" applyNumberFormat="1" applyFont="1" applyFill="1" applyBorder="1" applyAlignment="1">
      <alignment horizontal="center"/>
    </xf>
    <xf numFmtId="164" fontId="7" fillId="0" borderId="6" xfId="0" applyNumberFormat="1" applyFont="1" applyBorder="1" applyAlignment="1">
      <alignment vertical="center" shrinkToFit="1"/>
    </xf>
    <xf numFmtId="164" fontId="13" fillId="5" borderId="3" xfId="0" applyNumberFormat="1" applyFont="1" applyFill="1" applyBorder="1" applyAlignment="1">
      <alignment horizontal="center" vertical="center"/>
    </xf>
    <xf numFmtId="164" fontId="13" fillId="5" borderId="4" xfId="0" applyNumberFormat="1" applyFont="1" applyFill="1" applyBorder="1" applyAlignment="1">
      <alignment horizontal="center" vertical="center"/>
    </xf>
    <xf numFmtId="164" fontId="7" fillId="0" borderId="6" xfId="0" applyNumberFormat="1" applyFont="1" applyBorder="1" applyAlignment="1">
      <alignment vertical="center"/>
    </xf>
    <xf numFmtId="167" fontId="7" fillId="7" borderId="3" xfId="0" applyNumberFormat="1" applyFont="1" applyFill="1" applyBorder="1" applyAlignment="1">
      <alignment horizontal="center" vertical="center"/>
    </xf>
    <xf numFmtId="167" fontId="7" fillId="7" borderId="4" xfId="0" applyNumberFormat="1" applyFont="1" applyFill="1" applyBorder="1" applyAlignment="1">
      <alignment horizontal="center" vertical="center"/>
    </xf>
    <xf numFmtId="164" fontId="7" fillId="0" borderId="8" xfId="0" applyNumberFormat="1" applyFont="1" applyBorder="1" applyAlignment="1">
      <alignment vertical="center" shrinkToFit="1"/>
    </xf>
    <xf numFmtId="164" fontId="13" fillId="3" borderId="3" xfId="0" applyNumberFormat="1" applyFont="1" applyFill="1" applyBorder="1" applyAlignment="1">
      <alignment horizontal="center" vertical="center"/>
    </xf>
    <xf numFmtId="164" fontId="13" fillId="3" borderId="4" xfId="0" applyNumberFormat="1" applyFont="1" applyFill="1" applyBorder="1" applyAlignment="1">
      <alignment horizontal="center" vertical="center"/>
    </xf>
    <xf numFmtId="164" fontId="7" fillId="0" borderId="8" xfId="0" applyNumberFormat="1" applyFont="1" applyBorder="1" applyAlignment="1">
      <alignment vertical="center"/>
    </xf>
    <xf numFmtId="167" fontId="7" fillId="3" borderId="3" xfId="0" applyNumberFormat="1" applyFont="1" applyFill="1" applyBorder="1" applyAlignment="1">
      <alignment horizontal="center" vertical="center"/>
    </xf>
    <xf numFmtId="167" fontId="7" fillId="3" borderId="12" xfId="0" applyNumberFormat="1" applyFont="1" applyFill="1" applyBorder="1" applyAlignment="1">
      <alignment horizontal="center" vertical="center"/>
    </xf>
    <xf numFmtId="164" fontId="7" fillId="0" borderId="8" xfId="0" applyNumberFormat="1" applyFont="1" applyBorder="1"/>
    <xf numFmtId="164" fontId="7" fillId="0" borderId="1" xfId="0" applyNumberFormat="1" applyFont="1" applyBorder="1"/>
    <xf numFmtId="164" fontId="11" fillId="0" borderId="3" xfId="0" applyNumberFormat="1" applyFont="1" applyBorder="1" applyAlignment="1">
      <alignment horizontal="center"/>
    </xf>
    <xf numFmtId="164" fontId="7" fillId="0" borderId="5" xfId="0" applyNumberFormat="1" applyFont="1" applyBorder="1" applyAlignment="1">
      <alignment horizontal="center"/>
    </xf>
    <xf numFmtId="166" fontId="7" fillId="3" borderId="3" xfId="0" applyNumberFormat="1" applyFont="1" applyFill="1" applyBorder="1" applyAlignment="1">
      <alignment horizontal="center"/>
    </xf>
    <xf numFmtId="167" fontId="7" fillId="3" borderId="4" xfId="0" applyNumberFormat="1" applyFont="1" applyFill="1" applyBorder="1" applyAlignment="1">
      <alignment horizontal="center" vertical="center"/>
    </xf>
    <xf numFmtId="167" fontId="7" fillId="0" borderId="0" xfId="0" applyNumberFormat="1" applyFont="1"/>
    <xf numFmtId="164" fontId="7" fillId="5" borderId="5" xfId="0" applyNumberFormat="1" applyFont="1" applyFill="1" applyBorder="1" applyAlignment="1">
      <alignment horizontal="center" vertical="center"/>
    </xf>
    <xf numFmtId="164" fontId="7" fillId="5" borderId="7" xfId="0" applyNumberFormat="1" applyFont="1" applyFill="1" applyBorder="1" applyAlignment="1">
      <alignment horizontal="center" vertical="center"/>
    </xf>
    <xf numFmtId="167" fontId="7" fillId="0" borderId="6" xfId="0" applyNumberFormat="1" applyFont="1" applyBorder="1" applyAlignment="1">
      <alignment vertical="center"/>
    </xf>
    <xf numFmtId="167" fontId="7" fillId="5" borderId="5" xfId="0" applyNumberFormat="1" applyFont="1" applyFill="1" applyBorder="1" applyAlignment="1">
      <alignment horizontal="center" vertical="center"/>
    </xf>
    <xf numFmtId="167" fontId="7" fillId="5" borderId="7" xfId="0" applyNumberFormat="1" applyFont="1" applyFill="1" applyBorder="1" applyAlignment="1">
      <alignment horizontal="center" vertical="center"/>
    </xf>
    <xf numFmtId="164" fontId="7" fillId="5" borderId="1" xfId="0" applyNumberFormat="1" applyFont="1" applyFill="1" applyBorder="1" applyAlignment="1">
      <alignment horizontal="center" vertical="center"/>
    </xf>
    <xf numFmtId="164" fontId="7" fillId="5" borderId="9" xfId="0" applyNumberFormat="1" applyFont="1" applyFill="1" applyBorder="1" applyAlignment="1">
      <alignment horizontal="center" vertical="center"/>
    </xf>
    <xf numFmtId="167" fontId="7" fillId="0" borderId="8" xfId="0" applyNumberFormat="1" applyFont="1" applyBorder="1" applyAlignment="1">
      <alignment vertical="center"/>
    </xf>
    <xf numFmtId="167" fontId="7" fillId="5" borderId="1" xfId="0" applyNumberFormat="1" applyFont="1" applyFill="1" applyBorder="1" applyAlignment="1">
      <alignment horizontal="center" vertical="center"/>
    </xf>
    <xf numFmtId="167" fontId="7" fillId="5" borderId="9" xfId="0" applyNumberFormat="1" applyFont="1" applyFill="1" applyBorder="1" applyAlignment="1">
      <alignment horizontal="center" vertical="center"/>
    </xf>
    <xf numFmtId="164" fontId="7" fillId="0" borderId="9" xfId="0" applyNumberFormat="1" applyFont="1" applyBorder="1"/>
    <xf numFmtId="164" fontId="9" fillId="0" borderId="2" xfId="0" applyNumberFormat="1" applyFont="1" applyBorder="1" applyAlignment="1">
      <alignment horizontal="center"/>
    </xf>
    <xf numFmtId="164" fontId="9" fillId="0" borderId="3" xfId="0" applyNumberFormat="1" applyFont="1" applyBorder="1" applyAlignment="1">
      <alignment horizontal="center"/>
    </xf>
    <xf numFmtId="164" fontId="9" fillId="0" borderId="4" xfId="0" applyNumberFormat="1" applyFont="1" applyBorder="1" applyAlignment="1">
      <alignment horizontal="center"/>
    </xf>
    <xf numFmtId="164" fontId="10" fillId="0" borderId="0" xfId="0" applyNumberFormat="1" applyFont="1"/>
    <xf numFmtId="168" fontId="12" fillId="0" borderId="2" xfId="0" applyNumberFormat="1" applyFont="1" applyBorder="1" applyAlignment="1">
      <alignment horizontal="center" vertical="center"/>
    </xf>
    <xf numFmtId="168" fontId="12" fillId="0" borderId="3" xfId="0" applyNumberFormat="1" applyFont="1" applyBorder="1" applyAlignment="1">
      <alignment horizontal="center" vertical="center"/>
    </xf>
    <xf numFmtId="168" fontId="12" fillId="0" borderId="4" xfId="0" applyNumberFormat="1" applyFont="1" applyBorder="1" applyAlignment="1">
      <alignment horizontal="center" vertical="center"/>
    </xf>
    <xf numFmtId="168" fontId="14" fillId="0" borderId="2" xfId="0" applyNumberFormat="1" applyFont="1" applyBorder="1" applyAlignment="1">
      <alignment horizontal="center" vertical="center"/>
    </xf>
    <xf numFmtId="168" fontId="14" fillId="0" borderId="3" xfId="0" applyNumberFormat="1" applyFont="1" applyBorder="1" applyAlignment="1">
      <alignment horizontal="center" vertical="center"/>
    </xf>
    <xf numFmtId="168" fontId="14" fillId="0" borderId="4" xfId="0" applyNumberFormat="1" applyFont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A43"/>
  <sheetViews>
    <sheetView tabSelected="1" workbookViewId="0">
      <selection activeCell="AC6" sqref="AC6"/>
    </sheetView>
  </sheetViews>
  <sheetFormatPr defaultRowHeight="15" x14ac:dyDescent="0.25"/>
  <cols>
    <col min="2" max="2" width="3.140625" customWidth="1"/>
    <col min="3" max="3" width="2.85546875" customWidth="1"/>
    <col min="4" max="4" width="3.85546875" customWidth="1"/>
    <col min="5" max="5" width="4.28515625" customWidth="1"/>
    <col min="6" max="6" width="3.5703125" customWidth="1"/>
    <col min="7" max="7" width="3.85546875" customWidth="1"/>
    <col min="8" max="8" width="3.42578125" customWidth="1"/>
    <col min="9" max="9" width="2.5703125" customWidth="1"/>
    <col min="10" max="10" width="2.42578125" customWidth="1"/>
    <col min="11" max="11" width="1.85546875" customWidth="1"/>
    <col min="12" max="12" width="7.28515625" customWidth="1"/>
    <col min="13" max="13" width="6.28515625" customWidth="1"/>
    <col min="14" max="15" width="3.5703125" customWidth="1"/>
    <col min="16" max="27" width="3.7109375" customWidth="1"/>
  </cols>
  <sheetData>
    <row r="2" spans="1:26" ht="23.25" x14ac:dyDescent="0.35">
      <c r="A2" s="1" t="s">
        <v>0</v>
      </c>
      <c r="B2" s="1"/>
      <c r="C2" s="2">
        <v>45976</v>
      </c>
      <c r="D2" s="2"/>
      <c r="E2" s="2"/>
      <c r="F2" s="2"/>
      <c r="G2" s="2"/>
      <c r="H2" s="2"/>
      <c r="I2" s="3"/>
      <c r="J2" s="4" t="s">
        <v>1</v>
      </c>
      <c r="K2" s="4"/>
      <c r="L2" s="4"/>
      <c r="M2" s="5">
        <v>1.659</v>
      </c>
      <c r="N2" s="5"/>
      <c r="O2" s="5"/>
      <c r="P2" s="3"/>
      <c r="Q2" s="3"/>
      <c r="R2" s="3"/>
      <c r="S2" s="3"/>
      <c r="T2" s="3"/>
      <c r="U2" s="4" t="s">
        <v>2</v>
      </c>
      <c r="V2" s="4"/>
      <c r="W2" s="4"/>
      <c r="X2" s="6">
        <v>1.6990000000000001</v>
      </c>
      <c r="Y2" s="6"/>
      <c r="Z2" s="6"/>
    </row>
    <row r="3" spans="1:26" ht="23.25" x14ac:dyDescent="0.35">
      <c r="A3" s="7"/>
      <c r="B3" s="7"/>
      <c r="C3" s="7"/>
      <c r="D3" s="8"/>
      <c r="E3" s="8"/>
      <c r="F3" s="8"/>
      <c r="G3" s="8"/>
      <c r="H3" s="8"/>
      <c r="I3" s="9"/>
      <c r="J3" s="10"/>
      <c r="K3" s="11"/>
      <c r="L3" s="11"/>
      <c r="M3" s="12"/>
      <c r="N3" s="13"/>
      <c r="O3" s="13"/>
      <c r="P3" s="9"/>
      <c r="Q3" s="9"/>
      <c r="R3" s="9"/>
      <c r="S3" s="9"/>
      <c r="T3" s="9"/>
      <c r="U3" s="10"/>
      <c r="V3" s="11"/>
      <c r="W3" s="11"/>
      <c r="X3" s="12"/>
      <c r="Y3" s="13"/>
      <c r="Z3" s="13"/>
    </row>
    <row r="4" spans="1:26" x14ac:dyDescent="0.25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23.25" x14ac:dyDescent="0.35">
      <c r="A5" s="15" t="s">
        <v>3</v>
      </c>
      <c r="B5" s="16"/>
      <c r="C5" s="16"/>
      <c r="D5" s="16"/>
      <c r="E5" s="17"/>
      <c r="F5" s="18">
        <f>U18+U30+U38</f>
        <v>0</v>
      </c>
      <c r="G5" s="19"/>
      <c r="H5" s="19"/>
      <c r="I5" s="20"/>
      <c r="J5" s="3"/>
      <c r="K5" s="21" t="s">
        <v>4</v>
      </c>
      <c r="L5" s="22"/>
      <c r="M5" s="22"/>
      <c r="N5" s="22"/>
      <c r="O5" s="23"/>
      <c r="P5" s="24">
        <f>U19+U31</f>
        <v>0</v>
      </c>
      <c r="Q5" s="25"/>
      <c r="R5" s="25"/>
      <c r="S5" s="26"/>
      <c r="T5" s="3"/>
      <c r="U5" s="27">
        <f>F5+P5</f>
        <v>0</v>
      </c>
      <c r="V5" s="28"/>
      <c r="W5" s="28"/>
      <c r="X5" s="28"/>
      <c r="Y5" s="28"/>
      <c r="Z5" s="29"/>
    </row>
    <row r="6" spans="1:26" x14ac:dyDescent="0.25">
      <c r="A6" s="30" t="s">
        <v>5</v>
      </c>
      <c r="B6" s="30"/>
      <c r="C6" s="30"/>
      <c r="D6" s="30"/>
      <c r="E6" s="30"/>
      <c r="F6" s="30">
        <f>O18+O30+O38</f>
        <v>0</v>
      </c>
      <c r="G6" s="30"/>
      <c r="H6" s="30"/>
      <c r="I6" s="30"/>
      <c r="J6" s="14"/>
      <c r="K6" s="31" t="s">
        <v>6</v>
      </c>
      <c r="L6" s="31"/>
      <c r="M6" s="31"/>
      <c r="N6" s="31"/>
      <c r="O6" s="31"/>
      <c r="P6" s="31">
        <f>O19+O31</f>
        <v>0</v>
      </c>
      <c r="Q6" s="31"/>
      <c r="R6" s="31"/>
      <c r="S6" s="31"/>
      <c r="T6" s="14"/>
      <c r="U6" s="32" t="s">
        <v>7</v>
      </c>
      <c r="V6" s="33"/>
      <c r="W6" s="33"/>
      <c r="X6" s="33"/>
      <c r="Y6" s="33"/>
      <c r="Z6" s="34"/>
    </row>
    <row r="7" spans="1:26" x14ac:dyDescent="0.25">
      <c r="A7" s="35"/>
      <c r="B7" s="35"/>
      <c r="C7" s="35"/>
      <c r="D7" s="35"/>
      <c r="E7" s="35"/>
      <c r="F7" s="35"/>
      <c r="G7" s="35"/>
      <c r="H7" s="35"/>
      <c r="I7" s="35"/>
      <c r="J7" s="14"/>
      <c r="K7" s="36"/>
      <c r="L7" s="36"/>
      <c r="M7" s="36"/>
      <c r="N7" s="36"/>
      <c r="O7" s="36"/>
      <c r="P7" s="36"/>
      <c r="Q7" s="36"/>
      <c r="R7" s="36"/>
      <c r="S7" s="36"/>
      <c r="T7" s="14"/>
      <c r="U7" s="37"/>
      <c r="V7" s="38"/>
      <c r="W7" s="38"/>
      <c r="X7" s="38"/>
      <c r="Y7" s="38"/>
      <c r="Z7" s="39"/>
    </row>
    <row r="8" spans="1:26" x14ac:dyDescent="0.25">
      <c r="A8" s="35"/>
      <c r="B8" s="35"/>
      <c r="C8" s="35"/>
      <c r="D8" s="35"/>
      <c r="E8" s="35"/>
      <c r="F8" s="35"/>
      <c r="G8" s="35"/>
      <c r="H8" s="35"/>
      <c r="I8" s="35"/>
      <c r="J8" s="14"/>
      <c r="K8" s="36"/>
      <c r="L8" s="36"/>
      <c r="M8" s="36"/>
      <c r="N8" s="36"/>
      <c r="O8" s="36"/>
      <c r="P8" s="36"/>
      <c r="Q8" s="36"/>
      <c r="R8" s="36"/>
      <c r="S8" s="36"/>
      <c r="T8" s="14"/>
      <c r="U8" s="14"/>
      <c r="V8" s="14"/>
      <c r="W8" s="14"/>
      <c r="X8" s="14"/>
      <c r="Y8" s="40"/>
      <c r="Z8" s="40"/>
    </row>
    <row r="9" spans="1:26" x14ac:dyDescent="0.25">
      <c r="A9" s="41" t="s">
        <v>8</v>
      </c>
      <c r="B9" s="41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x14ac:dyDescent="0.25">
      <c r="A10" s="42"/>
      <c r="B10" s="43" t="s">
        <v>9</v>
      </c>
      <c r="C10" s="43"/>
      <c r="D10" s="43"/>
      <c r="E10" s="43"/>
      <c r="F10" s="43"/>
      <c r="G10" s="44"/>
      <c r="H10" s="44" t="s">
        <v>10</v>
      </c>
      <c r="I10" s="44"/>
      <c r="J10" s="44"/>
      <c r="K10" s="44"/>
      <c r="L10" s="44"/>
      <c r="M10" s="44"/>
      <c r="N10" s="44" t="s">
        <v>11</v>
      </c>
      <c r="O10" s="44"/>
      <c r="P10" s="44"/>
      <c r="Q10" s="44"/>
      <c r="R10" s="44"/>
      <c r="S10" s="44"/>
      <c r="T10" s="44" t="s">
        <v>12</v>
      </c>
      <c r="U10" s="45"/>
      <c r="V10" s="45"/>
      <c r="W10" s="45"/>
      <c r="X10" s="45"/>
      <c r="Y10" s="44"/>
      <c r="Z10" s="46"/>
    </row>
    <row r="11" spans="1:26" x14ac:dyDescent="0.25">
      <c r="A11" s="47" t="s">
        <v>13</v>
      </c>
      <c r="B11" s="48">
        <v>0</v>
      </c>
      <c r="C11" s="48"/>
      <c r="D11" s="48"/>
      <c r="E11" s="48"/>
      <c r="F11" s="48"/>
      <c r="G11" s="49" t="s">
        <v>14</v>
      </c>
      <c r="H11" s="48">
        <v>0</v>
      </c>
      <c r="I11" s="48"/>
      <c r="J11" s="48"/>
      <c r="K11" s="48"/>
      <c r="L11" s="48"/>
      <c r="M11" s="50" t="s">
        <v>15</v>
      </c>
      <c r="N11" s="51">
        <f t="shared" ref="N11:N16" si="0">B11-H11</f>
        <v>0</v>
      </c>
      <c r="O11" s="51"/>
      <c r="P11" s="51"/>
      <c r="Q11" s="51"/>
      <c r="R11" s="51"/>
      <c r="S11" s="52" t="s">
        <v>16</v>
      </c>
      <c r="T11" s="53">
        <f>N11*M2</f>
        <v>0</v>
      </c>
      <c r="U11" s="53"/>
      <c r="V11" s="53"/>
      <c r="W11" s="53"/>
      <c r="X11" s="53"/>
      <c r="Y11" s="14"/>
      <c r="Z11" s="54"/>
    </row>
    <row r="12" spans="1:26" x14ac:dyDescent="0.25">
      <c r="A12" s="47" t="s">
        <v>17</v>
      </c>
      <c r="B12" s="48">
        <v>0</v>
      </c>
      <c r="C12" s="48"/>
      <c r="D12" s="48"/>
      <c r="E12" s="48"/>
      <c r="F12" s="48"/>
      <c r="G12" s="49" t="s">
        <v>14</v>
      </c>
      <c r="H12" s="48">
        <v>0</v>
      </c>
      <c r="I12" s="48"/>
      <c r="J12" s="48"/>
      <c r="K12" s="48"/>
      <c r="L12" s="48"/>
      <c r="M12" s="50" t="s">
        <v>15</v>
      </c>
      <c r="N12" s="55">
        <f t="shared" si="0"/>
        <v>0</v>
      </c>
      <c r="O12" s="55"/>
      <c r="P12" s="55"/>
      <c r="Q12" s="55"/>
      <c r="R12" s="55"/>
      <c r="S12" s="52" t="s">
        <v>16</v>
      </c>
      <c r="T12" s="56">
        <f>N12*M2</f>
        <v>0</v>
      </c>
      <c r="U12" s="56"/>
      <c r="V12" s="56"/>
      <c r="W12" s="56"/>
      <c r="X12" s="56"/>
      <c r="Y12" s="14"/>
      <c r="Z12" s="54"/>
    </row>
    <row r="13" spans="1:26" x14ac:dyDescent="0.25">
      <c r="A13" s="47" t="s">
        <v>18</v>
      </c>
      <c r="B13" s="48">
        <v>0</v>
      </c>
      <c r="C13" s="48"/>
      <c r="D13" s="48"/>
      <c r="E13" s="48"/>
      <c r="F13" s="48"/>
      <c r="G13" s="49" t="s">
        <v>14</v>
      </c>
      <c r="H13" s="48">
        <v>0</v>
      </c>
      <c r="I13" s="48"/>
      <c r="J13" s="48"/>
      <c r="K13" s="48"/>
      <c r="L13" s="48"/>
      <c r="M13" s="50" t="s">
        <v>15</v>
      </c>
      <c r="N13" s="57">
        <f t="shared" si="0"/>
        <v>0</v>
      </c>
      <c r="O13" s="57"/>
      <c r="P13" s="57"/>
      <c r="Q13" s="57"/>
      <c r="R13" s="57"/>
      <c r="S13" s="58" t="s">
        <v>19</v>
      </c>
      <c r="T13" s="59">
        <f>N13*X2</f>
        <v>0</v>
      </c>
      <c r="U13" s="59"/>
      <c r="V13" s="59"/>
      <c r="W13" s="59"/>
      <c r="X13" s="59"/>
      <c r="Y13" s="14"/>
      <c r="Z13" s="54"/>
    </row>
    <row r="14" spans="1:26" x14ac:dyDescent="0.25">
      <c r="A14" s="47" t="s">
        <v>20</v>
      </c>
      <c r="B14" s="48">
        <v>0</v>
      </c>
      <c r="C14" s="48"/>
      <c r="D14" s="48"/>
      <c r="E14" s="48"/>
      <c r="F14" s="48"/>
      <c r="G14" s="49" t="s">
        <v>14</v>
      </c>
      <c r="H14" s="48">
        <v>0</v>
      </c>
      <c r="I14" s="48"/>
      <c r="J14" s="48"/>
      <c r="K14" s="48"/>
      <c r="L14" s="48"/>
      <c r="M14" s="50" t="s">
        <v>15</v>
      </c>
      <c r="N14" s="55">
        <f t="shared" si="0"/>
        <v>0</v>
      </c>
      <c r="O14" s="55"/>
      <c r="P14" s="55"/>
      <c r="Q14" s="55"/>
      <c r="R14" s="55"/>
      <c r="S14" s="52" t="s">
        <v>16</v>
      </c>
      <c r="T14" s="56">
        <f>N14*M2</f>
        <v>0</v>
      </c>
      <c r="U14" s="56"/>
      <c r="V14" s="56"/>
      <c r="W14" s="56"/>
      <c r="X14" s="56"/>
      <c r="Y14" s="14"/>
      <c r="Z14" s="54"/>
    </row>
    <row r="15" spans="1:26" x14ac:dyDescent="0.25">
      <c r="A15" s="47" t="s">
        <v>21</v>
      </c>
      <c r="B15" s="48">
        <v>0</v>
      </c>
      <c r="C15" s="48"/>
      <c r="D15" s="48"/>
      <c r="E15" s="48"/>
      <c r="F15" s="48"/>
      <c r="G15" s="49" t="s">
        <v>14</v>
      </c>
      <c r="H15" s="48">
        <v>0</v>
      </c>
      <c r="I15" s="48"/>
      <c r="J15" s="48"/>
      <c r="K15" s="48"/>
      <c r="L15" s="48"/>
      <c r="M15" s="50" t="s">
        <v>15</v>
      </c>
      <c r="N15" s="55">
        <f t="shared" si="0"/>
        <v>0</v>
      </c>
      <c r="O15" s="55"/>
      <c r="P15" s="55"/>
      <c r="Q15" s="55"/>
      <c r="R15" s="55"/>
      <c r="S15" s="52" t="s">
        <v>16</v>
      </c>
      <c r="T15" s="56">
        <f>N15*M2</f>
        <v>0</v>
      </c>
      <c r="U15" s="56"/>
      <c r="V15" s="56"/>
      <c r="W15" s="56"/>
      <c r="X15" s="56"/>
      <c r="Y15" s="14"/>
      <c r="Z15" s="54"/>
    </row>
    <row r="16" spans="1:26" x14ac:dyDescent="0.25">
      <c r="A16" s="47" t="s">
        <v>22</v>
      </c>
      <c r="B16" s="48">
        <v>0</v>
      </c>
      <c r="C16" s="48"/>
      <c r="D16" s="48"/>
      <c r="E16" s="48"/>
      <c r="F16" s="48"/>
      <c r="G16" s="49" t="s">
        <v>14</v>
      </c>
      <c r="H16" s="48">
        <v>0</v>
      </c>
      <c r="I16" s="48"/>
      <c r="J16" s="48"/>
      <c r="K16" s="48"/>
      <c r="L16" s="48"/>
      <c r="M16" s="50" t="s">
        <v>15</v>
      </c>
      <c r="N16" s="57">
        <f t="shared" si="0"/>
        <v>0</v>
      </c>
      <c r="O16" s="57"/>
      <c r="P16" s="57"/>
      <c r="Q16" s="57"/>
      <c r="R16" s="57"/>
      <c r="S16" s="58" t="s">
        <v>19</v>
      </c>
      <c r="T16" s="59">
        <f>N16*X2</f>
        <v>0</v>
      </c>
      <c r="U16" s="59"/>
      <c r="V16" s="59"/>
      <c r="W16" s="59"/>
      <c r="X16" s="59"/>
      <c r="Y16" s="14"/>
      <c r="Z16" s="54"/>
    </row>
    <row r="18" spans="1:24" ht="15.75" x14ac:dyDescent="0.25">
      <c r="A18" s="47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60" t="s">
        <v>23</v>
      </c>
      <c r="O18" s="61">
        <f>N11+N12+N14+N15</f>
        <v>0</v>
      </c>
      <c r="P18" s="61"/>
      <c r="Q18" s="61"/>
      <c r="R18" s="62"/>
      <c r="S18" s="14"/>
      <c r="T18" s="63" t="s">
        <v>24</v>
      </c>
      <c r="U18" s="64">
        <f>T11+T12+T14+T15</f>
        <v>0</v>
      </c>
      <c r="V18" s="64"/>
      <c r="W18" s="64"/>
      <c r="X18" s="65"/>
    </row>
    <row r="19" spans="1:24" ht="15.75" x14ac:dyDescent="0.25">
      <c r="A19" s="47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66" t="s">
        <v>25</v>
      </c>
      <c r="O19" s="67">
        <f>N13+N16</f>
        <v>0</v>
      </c>
      <c r="P19" s="67"/>
      <c r="Q19" s="67"/>
      <c r="R19" s="68"/>
      <c r="S19" s="14"/>
      <c r="T19" s="69" t="s">
        <v>26</v>
      </c>
      <c r="U19" s="70">
        <f>T13+T16</f>
        <v>0</v>
      </c>
      <c r="V19" s="70"/>
      <c r="W19" s="70"/>
      <c r="X19" s="71"/>
    </row>
    <row r="20" spans="1:24" x14ac:dyDescent="0.25">
      <c r="A20" s="72"/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</row>
    <row r="21" spans="1:24" x14ac:dyDescent="0.25">
      <c r="A21" s="74" t="s">
        <v>27</v>
      </c>
      <c r="B21" s="7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</row>
    <row r="22" spans="1:24" x14ac:dyDescent="0.25">
      <c r="A22" s="42"/>
      <c r="B22" s="75" t="s">
        <v>9</v>
      </c>
      <c r="C22" s="75"/>
      <c r="D22" s="75"/>
      <c r="E22" s="75"/>
      <c r="F22" s="75"/>
      <c r="G22" s="44"/>
      <c r="H22" s="44" t="s">
        <v>10</v>
      </c>
      <c r="I22" s="44"/>
      <c r="J22" s="44"/>
      <c r="K22" s="44"/>
      <c r="L22" s="44"/>
      <c r="M22" s="44"/>
      <c r="N22" s="44" t="s">
        <v>11</v>
      </c>
      <c r="O22" s="44"/>
      <c r="P22" s="44"/>
      <c r="Q22" s="44"/>
      <c r="R22" s="44"/>
      <c r="S22" s="44"/>
      <c r="T22" s="44" t="s">
        <v>12</v>
      </c>
      <c r="U22" s="45"/>
      <c r="V22" s="45"/>
      <c r="W22" s="45"/>
      <c r="X22" s="45"/>
    </row>
    <row r="23" spans="1:24" x14ac:dyDescent="0.25">
      <c r="A23" s="47" t="s">
        <v>13</v>
      </c>
      <c r="B23" s="48">
        <v>0</v>
      </c>
      <c r="C23" s="48"/>
      <c r="D23" s="48"/>
      <c r="E23" s="48"/>
      <c r="F23" s="48"/>
      <c r="G23" s="49" t="s">
        <v>14</v>
      </c>
      <c r="H23" s="48">
        <v>0</v>
      </c>
      <c r="I23" s="48"/>
      <c r="J23" s="48"/>
      <c r="K23" s="48"/>
      <c r="L23" s="48"/>
      <c r="M23" s="50" t="s">
        <v>15</v>
      </c>
      <c r="N23" s="51">
        <f t="shared" ref="N23:N28" si="1">B23-H23</f>
        <v>0</v>
      </c>
      <c r="O23" s="51"/>
      <c r="P23" s="51"/>
      <c r="Q23" s="51"/>
      <c r="R23" s="51"/>
      <c r="S23" s="52" t="s">
        <v>16</v>
      </c>
      <c r="T23" s="53">
        <f>N23*M2</f>
        <v>0</v>
      </c>
      <c r="U23" s="53"/>
      <c r="V23" s="53"/>
      <c r="W23" s="53"/>
      <c r="X23" s="53"/>
    </row>
    <row r="24" spans="1:24" x14ac:dyDescent="0.25">
      <c r="A24" s="47" t="s">
        <v>17</v>
      </c>
      <c r="B24" s="48">
        <v>0</v>
      </c>
      <c r="C24" s="48"/>
      <c r="D24" s="48"/>
      <c r="E24" s="48"/>
      <c r="F24" s="48"/>
      <c r="G24" s="49" t="s">
        <v>14</v>
      </c>
      <c r="H24" s="48">
        <v>0</v>
      </c>
      <c r="I24" s="48"/>
      <c r="J24" s="48"/>
      <c r="K24" s="48"/>
      <c r="L24" s="48"/>
      <c r="M24" s="50" t="s">
        <v>15</v>
      </c>
      <c r="N24" s="55">
        <f t="shared" si="1"/>
        <v>0</v>
      </c>
      <c r="O24" s="55"/>
      <c r="P24" s="55"/>
      <c r="Q24" s="55"/>
      <c r="R24" s="55"/>
      <c r="S24" s="52" t="s">
        <v>16</v>
      </c>
      <c r="T24" s="56">
        <f>N24*M2</f>
        <v>0</v>
      </c>
      <c r="U24" s="56"/>
      <c r="V24" s="56"/>
      <c r="W24" s="56"/>
      <c r="X24" s="56"/>
    </row>
    <row r="25" spans="1:24" x14ac:dyDescent="0.25">
      <c r="A25" s="47" t="s">
        <v>18</v>
      </c>
      <c r="B25" s="48">
        <v>0</v>
      </c>
      <c r="C25" s="48"/>
      <c r="D25" s="48"/>
      <c r="E25" s="48"/>
      <c r="F25" s="48"/>
      <c r="G25" s="49" t="s">
        <v>14</v>
      </c>
      <c r="H25" s="48">
        <v>0</v>
      </c>
      <c r="I25" s="48"/>
      <c r="J25" s="48"/>
      <c r="K25" s="48"/>
      <c r="L25" s="48"/>
      <c r="M25" s="50" t="s">
        <v>15</v>
      </c>
      <c r="N25" s="57">
        <f t="shared" si="1"/>
        <v>0</v>
      </c>
      <c r="O25" s="57"/>
      <c r="P25" s="57"/>
      <c r="Q25" s="57"/>
      <c r="R25" s="57"/>
      <c r="S25" s="58" t="s">
        <v>19</v>
      </c>
      <c r="T25" s="76">
        <f>N25*X2</f>
        <v>0</v>
      </c>
      <c r="U25" s="76"/>
      <c r="V25" s="76"/>
      <c r="W25" s="76"/>
      <c r="X25" s="76"/>
    </row>
    <row r="26" spans="1:24" x14ac:dyDescent="0.25">
      <c r="A26" s="47" t="s">
        <v>20</v>
      </c>
      <c r="B26" s="48">
        <v>0</v>
      </c>
      <c r="C26" s="48"/>
      <c r="D26" s="48"/>
      <c r="E26" s="48"/>
      <c r="F26" s="48"/>
      <c r="G26" s="49" t="s">
        <v>14</v>
      </c>
      <c r="H26" s="48">
        <v>0</v>
      </c>
      <c r="I26" s="48"/>
      <c r="J26" s="48"/>
      <c r="K26" s="48"/>
      <c r="L26" s="48"/>
      <c r="M26" s="50" t="s">
        <v>15</v>
      </c>
      <c r="N26" s="55">
        <f t="shared" si="1"/>
        <v>0</v>
      </c>
      <c r="O26" s="55"/>
      <c r="P26" s="55"/>
      <c r="Q26" s="55"/>
      <c r="R26" s="55"/>
      <c r="S26" s="52" t="s">
        <v>16</v>
      </c>
      <c r="T26" s="56">
        <f>N26*M2</f>
        <v>0</v>
      </c>
      <c r="U26" s="56"/>
      <c r="V26" s="56"/>
      <c r="W26" s="56"/>
      <c r="X26" s="56"/>
    </row>
    <row r="27" spans="1:24" x14ac:dyDescent="0.25">
      <c r="A27" s="47" t="s">
        <v>21</v>
      </c>
      <c r="B27" s="48">
        <v>0</v>
      </c>
      <c r="C27" s="48"/>
      <c r="D27" s="48"/>
      <c r="E27" s="48"/>
      <c r="F27" s="48"/>
      <c r="G27" s="49" t="s">
        <v>14</v>
      </c>
      <c r="H27" s="48">
        <v>0</v>
      </c>
      <c r="I27" s="48"/>
      <c r="J27" s="48"/>
      <c r="K27" s="48"/>
      <c r="L27" s="48"/>
      <c r="M27" s="50" t="s">
        <v>15</v>
      </c>
      <c r="N27" s="55">
        <f t="shared" si="1"/>
        <v>0</v>
      </c>
      <c r="O27" s="55"/>
      <c r="P27" s="55"/>
      <c r="Q27" s="55"/>
      <c r="R27" s="55"/>
      <c r="S27" s="52" t="s">
        <v>16</v>
      </c>
      <c r="T27" s="56">
        <f>N27*M2</f>
        <v>0</v>
      </c>
      <c r="U27" s="56"/>
      <c r="V27" s="56"/>
      <c r="W27" s="56"/>
      <c r="X27" s="56"/>
    </row>
    <row r="28" spans="1:24" x14ac:dyDescent="0.25">
      <c r="A28" s="47" t="s">
        <v>22</v>
      </c>
      <c r="B28" s="48">
        <v>0</v>
      </c>
      <c r="C28" s="48"/>
      <c r="D28" s="48"/>
      <c r="E28" s="48"/>
      <c r="F28" s="48"/>
      <c r="G28" s="49" t="s">
        <v>14</v>
      </c>
      <c r="H28" s="48">
        <v>0</v>
      </c>
      <c r="I28" s="48"/>
      <c r="J28" s="48"/>
      <c r="K28" s="48"/>
      <c r="L28" s="48"/>
      <c r="M28" s="50" t="s">
        <v>15</v>
      </c>
      <c r="N28" s="57">
        <f t="shared" si="1"/>
        <v>0</v>
      </c>
      <c r="O28" s="57"/>
      <c r="P28" s="57"/>
      <c r="Q28" s="57"/>
      <c r="R28" s="57"/>
      <c r="S28" s="58" t="s">
        <v>19</v>
      </c>
      <c r="T28" s="76">
        <f>N28*X2</f>
        <v>0</v>
      </c>
      <c r="U28" s="76"/>
      <c r="V28" s="76"/>
      <c r="W28" s="76"/>
      <c r="X28" s="76"/>
    </row>
    <row r="29" spans="1:24" x14ac:dyDescent="0.25">
      <c r="A29" s="47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</row>
    <row r="30" spans="1:24" ht="15.75" x14ac:dyDescent="0.25">
      <c r="A30" s="47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60" t="s">
        <v>23</v>
      </c>
      <c r="O30" s="61">
        <f>N23+N24+N26+N27</f>
        <v>0</v>
      </c>
      <c r="P30" s="61"/>
      <c r="Q30" s="61"/>
      <c r="R30" s="62"/>
      <c r="S30" s="14"/>
      <c r="T30" s="63" t="s">
        <v>24</v>
      </c>
      <c r="U30" s="64">
        <f>T23+T24+T26+T27</f>
        <v>0</v>
      </c>
      <c r="V30" s="64"/>
      <c r="W30" s="64"/>
      <c r="X30" s="65"/>
    </row>
    <row r="31" spans="1:24" ht="15.75" x14ac:dyDescent="0.25">
      <c r="A31" s="47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66" t="s">
        <v>25</v>
      </c>
      <c r="O31" s="67">
        <f>N25+N28</f>
        <v>0</v>
      </c>
      <c r="P31" s="67"/>
      <c r="Q31" s="67"/>
      <c r="R31" s="68"/>
      <c r="S31" s="14"/>
      <c r="T31" s="69" t="s">
        <v>26</v>
      </c>
      <c r="U31" s="70">
        <f>T25+T28</f>
        <v>0</v>
      </c>
      <c r="V31" s="70"/>
      <c r="W31" s="70"/>
      <c r="X31" s="77"/>
    </row>
    <row r="33" spans="1:26" x14ac:dyDescent="0.25">
      <c r="A33" s="74" t="s">
        <v>28</v>
      </c>
      <c r="B33" s="7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x14ac:dyDescent="0.25">
      <c r="A34" s="42"/>
      <c r="B34" s="43" t="s">
        <v>9</v>
      </c>
      <c r="C34" s="43"/>
      <c r="D34" s="43"/>
      <c r="E34" s="43"/>
      <c r="F34" s="43"/>
      <c r="G34" s="44"/>
      <c r="H34" s="44" t="s">
        <v>10</v>
      </c>
      <c r="I34" s="44"/>
      <c r="J34" s="44"/>
      <c r="K34" s="44"/>
      <c r="L34" s="44"/>
      <c r="M34" s="44"/>
      <c r="N34" s="44" t="s">
        <v>11</v>
      </c>
      <c r="O34" s="44"/>
      <c r="P34" s="44"/>
      <c r="Q34" s="44"/>
      <c r="R34" s="44"/>
      <c r="S34" s="44"/>
      <c r="T34" s="44" t="s">
        <v>12</v>
      </c>
      <c r="U34" s="45"/>
      <c r="V34" s="45"/>
      <c r="W34" s="45"/>
      <c r="X34" s="45"/>
      <c r="Y34" s="44"/>
      <c r="Z34" s="46"/>
    </row>
    <row r="35" spans="1:26" x14ac:dyDescent="0.25">
      <c r="A35" s="47" t="s">
        <v>13</v>
      </c>
      <c r="B35" s="48">
        <v>0</v>
      </c>
      <c r="C35" s="48"/>
      <c r="D35" s="48"/>
      <c r="E35" s="48"/>
      <c r="F35" s="48"/>
      <c r="G35" s="49" t="s">
        <v>14</v>
      </c>
      <c r="H35" s="48">
        <v>0</v>
      </c>
      <c r="I35" s="48"/>
      <c r="J35" s="48"/>
      <c r="K35" s="48"/>
      <c r="L35" s="48"/>
      <c r="M35" s="50" t="s">
        <v>15</v>
      </c>
      <c r="N35" s="55">
        <f>B35-H35</f>
        <v>0</v>
      </c>
      <c r="O35" s="55"/>
      <c r="P35" s="55"/>
      <c r="Q35" s="55"/>
      <c r="R35" s="55"/>
      <c r="S35" s="52"/>
      <c r="T35" s="56">
        <f>N35*M2</f>
        <v>0</v>
      </c>
      <c r="U35" s="56"/>
      <c r="V35" s="56"/>
      <c r="W35" s="56"/>
      <c r="X35" s="56"/>
      <c r="Y35" s="14"/>
      <c r="Z35" s="54"/>
    </row>
    <row r="36" spans="1:26" x14ac:dyDescent="0.25">
      <c r="A36" s="47" t="s">
        <v>17</v>
      </c>
      <c r="B36" s="48">
        <v>0</v>
      </c>
      <c r="C36" s="48"/>
      <c r="D36" s="48"/>
      <c r="E36" s="48"/>
      <c r="F36" s="48"/>
      <c r="G36" s="49" t="s">
        <v>14</v>
      </c>
      <c r="H36" s="48">
        <v>0</v>
      </c>
      <c r="I36" s="48"/>
      <c r="J36" s="48"/>
      <c r="K36" s="48"/>
      <c r="L36" s="48"/>
      <c r="M36" s="50" t="s">
        <v>15</v>
      </c>
      <c r="N36" s="55">
        <f>B36-H36</f>
        <v>0</v>
      </c>
      <c r="O36" s="55"/>
      <c r="P36" s="55"/>
      <c r="Q36" s="55"/>
      <c r="R36" s="55"/>
      <c r="S36" s="52"/>
      <c r="T36" s="56">
        <f>N36*M2</f>
        <v>0</v>
      </c>
      <c r="U36" s="56"/>
      <c r="V36" s="56"/>
      <c r="W36" s="56"/>
      <c r="X36" s="56"/>
      <c r="Y36" s="14"/>
      <c r="Z36" s="54"/>
    </row>
    <row r="37" spans="1:26" x14ac:dyDescent="0.25">
      <c r="A37" s="47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78"/>
      <c r="U37" s="78"/>
      <c r="V37" s="78"/>
      <c r="W37" s="78"/>
      <c r="X37" s="78"/>
      <c r="Y37" s="14"/>
      <c r="Z37" s="54"/>
    </row>
    <row r="38" spans="1:26" x14ac:dyDescent="0.25">
      <c r="A38" s="47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63" t="s">
        <v>29</v>
      </c>
      <c r="O38" s="79">
        <f>N35+N36</f>
        <v>0</v>
      </c>
      <c r="P38" s="79"/>
      <c r="Q38" s="79"/>
      <c r="R38" s="80"/>
      <c r="S38" s="14"/>
      <c r="T38" s="81" t="s">
        <v>30</v>
      </c>
      <c r="U38" s="82">
        <f>T35+T36</f>
        <v>0</v>
      </c>
      <c r="V38" s="82"/>
      <c r="W38" s="82"/>
      <c r="X38" s="83"/>
      <c r="Y38" s="14"/>
      <c r="Z38" s="54"/>
    </row>
    <row r="39" spans="1:26" x14ac:dyDescent="0.25">
      <c r="A39" s="47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69"/>
      <c r="O39" s="84"/>
      <c r="P39" s="84"/>
      <c r="Q39" s="84"/>
      <c r="R39" s="85"/>
      <c r="S39" s="14"/>
      <c r="T39" s="86"/>
      <c r="U39" s="87"/>
      <c r="V39" s="87"/>
      <c r="W39" s="87"/>
      <c r="X39" s="88"/>
      <c r="Y39" s="14"/>
      <c r="Z39" s="54"/>
    </row>
    <row r="40" spans="1:26" x14ac:dyDescent="0.25">
      <c r="A40" s="72"/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89"/>
    </row>
    <row r="41" spans="1:26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x14ac:dyDescent="0.25">
      <c r="A42" s="90" t="s">
        <v>31</v>
      </c>
      <c r="B42" s="91"/>
      <c r="C42" s="92"/>
      <c r="D42" s="90" t="s">
        <v>32</v>
      </c>
      <c r="E42" s="91"/>
      <c r="F42" s="92"/>
      <c r="G42" s="90" t="s">
        <v>33</v>
      </c>
      <c r="H42" s="91"/>
      <c r="I42" s="92"/>
      <c r="J42" s="90" t="s">
        <v>34</v>
      </c>
      <c r="K42" s="91"/>
      <c r="L42" s="92"/>
      <c r="M42" s="90" t="s">
        <v>35</v>
      </c>
      <c r="N42" s="91"/>
      <c r="O42" s="92"/>
      <c r="P42" s="90" t="s">
        <v>36</v>
      </c>
      <c r="Q42" s="91"/>
      <c r="R42" s="92"/>
      <c r="S42" s="90" t="s">
        <v>37</v>
      </c>
      <c r="T42" s="91"/>
      <c r="U42" s="92"/>
      <c r="V42" s="90" t="s">
        <v>38</v>
      </c>
      <c r="W42" s="91"/>
      <c r="X42" s="92"/>
      <c r="Y42" s="93"/>
      <c r="Z42" s="14"/>
    </row>
    <row r="43" spans="1:26" x14ac:dyDescent="0.25">
      <c r="A43" s="94"/>
      <c r="B43" s="95"/>
      <c r="C43" s="96"/>
      <c r="D43" s="94"/>
      <c r="E43" s="95"/>
      <c r="F43" s="96"/>
      <c r="G43" s="94">
        <f>U5-D43-J43-S43-V43+P43+M43</f>
        <v>0</v>
      </c>
      <c r="H43" s="95"/>
      <c r="I43" s="96"/>
      <c r="J43" s="94"/>
      <c r="K43" s="95"/>
      <c r="L43" s="96"/>
      <c r="M43" s="97"/>
      <c r="N43" s="98"/>
      <c r="O43" s="99"/>
      <c r="P43" s="94"/>
      <c r="Q43" s="95"/>
      <c r="R43" s="96"/>
      <c r="S43" s="94"/>
      <c r="T43" s="95"/>
      <c r="U43" s="96"/>
      <c r="V43" s="94"/>
      <c r="W43" s="95"/>
      <c r="X43" s="96"/>
      <c r="Y43" s="14"/>
      <c r="Z43" s="14"/>
    </row>
  </sheetData>
  <mergeCells count="106">
    <mergeCell ref="S42:U42"/>
    <mergeCell ref="V42:X42"/>
    <mergeCell ref="A43:C43"/>
    <mergeCell ref="D43:F43"/>
    <mergeCell ref="G43:I43"/>
    <mergeCell ref="J43:L43"/>
    <mergeCell ref="M43:O43"/>
    <mergeCell ref="P43:R43"/>
    <mergeCell ref="S43:U43"/>
    <mergeCell ref="V43:X43"/>
    <mergeCell ref="A42:C42"/>
    <mergeCell ref="D42:F42"/>
    <mergeCell ref="G42:I42"/>
    <mergeCell ref="J42:L42"/>
    <mergeCell ref="M42:O42"/>
    <mergeCell ref="P42:R42"/>
    <mergeCell ref="B36:F36"/>
    <mergeCell ref="H36:L36"/>
    <mergeCell ref="N36:R36"/>
    <mergeCell ref="T36:X36"/>
    <mergeCell ref="O38:R39"/>
    <mergeCell ref="U38:X39"/>
    <mergeCell ref="O31:R31"/>
    <mergeCell ref="U31:X31"/>
    <mergeCell ref="A33:B33"/>
    <mergeCell ref="B34:F34"/>
    <mergeCell ref="B35:F35"/>
    <mergeCell ref="H35:L35"/>
    <mergeCell ref="N35:R35"/>
    <mergeCell ref="T35:X35"/>
    <mergeCell ref="B28:F28"/>
    <mergeCell ref="H28:L28"/>
    <mergeCell ref="N28:R28"/>
    <mergeCell ref="T28:X28"/>
    <mergeCell ref="O30:R30"/>
    <mergeCell ref="U30:X30"/>
    <mergeCell ref="B26:F26"/>
    <mergeCell ref="H26:L26"/>
    <mergeCell ref="N26:R26"/>
    <mergeCell ref="T26:X26"/>
    <mergeCell ref="B27:F27"/>
    <mergeCell ref="H27:L27"/>
    <mergeCell ref="N27:R27"/>
    <mergeCell ref="T27:X27"/>
    <mergeCell ref="B24:F24"/>
    <mergeCell ref="H24:L24"/>
    <mergeCell ref="N24:R24"/>
    <mergeCell ref="T24:X24"/>
    <mergeCell ref="B25:F25"/>
    <mergeCell ref="H25:L25"/>
    <mergeCell ref="N25:R25"/>
    <mergeCell ref="T25:X25"/>
    <mergeCell ref="O19:R19"/>
    <mergeCell ref="U19:X19"/>
    <mergeCell ref="A21:B21"/>
    <mergeCell ref="B22:F22"/>
    <mergeCell ref="B23:F23"/>
    <mergeCell ref="H23:L23"/>
    <mergeCell ref="N23:R23"/>
    <mergeCell ref="T23:X23"/>
    <mergeCell ref="B16:F16"/>
    <mergeCell ref="H16:L16"/>
    <mergeCell ref="N16:R16"/>
    <mergeCell ref="T16:X16"/>
    <mergeCell ref="O18:R18"/>
    <mergeCell ref="U18:X18"/>
    <mergeCell ref="B14:F14"/>
    <mergeCell ref="H14:L14"/>
    <mergeCell ref="N14:R14"/>
    <mergeCell ref="T14:X14"/>
    <mergeCell ref="B15:F15"/>
    <mergeCell ref="H15:L15"/>
    <mergeCell ref="N15:R15"/>
    <mergeCell ref="T15:X15"/>
    <mergeCell ref="B12:F12"/>
    <mergeCell ref="H12:L12"/>
    <mergeCell ref="N12:R12"/>
    <mergeCell ref="T12:X12"/>
    <mergeCell ref="B13:F13"/>
    <mergeCell ref="H13:L13"/>
    <mergeCell ref="N13:R13"/>
    <mergeCell ref="T13:X13"/>
    <mergeCell ref="A9:B9"/>
    <mergeCell ref="B10:F10"/>
    <mergeCell ref="B11:F11"/>
    <mergeCell ref="H11:L11"/>
    <mergeCell ref="N11:R11"/>
    <mergeCell ref="T11:X11"/>
    <mergeCell ref="U5:Z5"/>
    <mergeCell ref="A6:E8"/>
    <mergeCell ref="F6:I8"/>
    <mergeCell ref="K6:O8"/>
    <mergeCell ref="P6:S8"/>
    <mergeCell ref="U6:Z7"/>
    <mergeCell ref="A3:C3"/>
    <mergeCell ref="D3:H3"/>
    <mergeCell ref="A5:E5"/>
    <mergeCell ref="F5:I5"/>
    <mergeCell ref="K5:O5"/>
    <mergeCell ref="P5:S5"/>
    <mergeCell ref="A2:B2"/>
    <mergeCell ref="C2:H2"/>
    <mergeCell ref="J2:L2"/>
    <mergeCell ref="M2:O2"/>
    <mergeCell ref="U2:W2"/>
    <mergeCell ref="X2:Z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Barra</dc:creator>
  <cp:lastModifiedBy>Lorenzo Barra</cp:lastModifiedBy>
  <dcterms:created xsi:type="dcterms:W3CDTF">2015-06-05T18:19:34Z</dcterms:created>
  <dcterms:modified xsi:type="dcterms:W3CDTF">2025-11-17T12:31:28Z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2025-11-17T12:31:28Z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b2f58660-4609-4ed3-8020-c6397e741d83</vt:lpwstr>
  </property>
  <property fmtid="{D5CDD505-2E9C-101B-9397-08002B2CF9AE}" pid="7" name="MSIP_Label_defa4170-0d19-0005-0004-bc88714345d2_ActionId">
    <vt:lpwstr>fa044de0-045f-4384-9ff2-a0820c063e1c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